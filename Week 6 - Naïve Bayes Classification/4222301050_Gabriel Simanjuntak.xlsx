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 TUF GAMING\Documents\Semester 6\RE603 Machine Learning\Naïve Bayes Classification\"/>
    </mc:Choice>
  </mc:AlternateContent>
  <xr:revisionPtr revIDLastSave="0" documentId="13_ncr:1_{C66F01E2-9FE6-4434-9B69-CDC3057E9C3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M40" i="2" l="1"/>
  <c r="R37" i="2"/>
  <c r="M54" i="2"/>
  <c r="C63" i="1"/>
  <c r="C69" i="1" s="1"/>
  <c r="C52" i="1"/>
  <c r="C58" i="1" s="1"/>
  <c r="M39" i="2"/>
  <c r="M38" i="2"/>
  <c r="M37" i="2"/>
  <c r="C64" i="1"/>
  <c r="C56" i="1"/>
  <c r="C55" i="1"/>
  <c r="C54" i="1"/>
  <c r="H53" i="1"/>
  <c r="C53" i="1"/>
  <c r="C20" i="1"/>
  <c r="C19" i="1"/>
  <c r="M43" i="2" l="1"/>
</calcChain>
</file>

<file path=xl/sharedStrings.xml><?xml version="1.0" encoding="utf-8"?>
<sst xmlns="http://schemas.openxmlformats.org/spreadsheetml/2006/main" count="219" uniqueCount="83">
  <si>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</si>
  <si>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</si>
  <si>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</si>
  <si>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</si>
  <si>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</si>
  <si>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</si>
  <si>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</si>
  <si>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</si>
  <si>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</si>
  <si>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</si>
  <si>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</si>
  <si>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</si>
  <si>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</si>
  <si>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</si>
  <si>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</si>
  <si>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</si>
  <si>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</si>
  <si>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</si>
  <si>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</si>
  <si>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</si>
  <si>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</si>
  <si>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</si>
  <si>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</si>
  <si>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</si>
  <si>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</si>
  <si>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</si>
  <si>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</si>
  <si>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</si>
  <si>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</si>
  <si>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</si>
  <si>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</si>
  <si>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</si>
  <si>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</si>
  <si>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</si>
  <si>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</si>
  <si>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</si>
  <si>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</si>
  <si>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</si>
  <si>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</si>
  <si>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</si>
  <si>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</si>
  <si>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</si>
  <si>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</si>
  <si>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</si>
  <si>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</si>
  <si>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</si>
  <si>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</si>
  <si>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</si>
  <si>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</si>
  <si>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</si>
  <si>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</si>
  <si>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</si>
  <si>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</si>
  <si>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</si>
  <si>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</si>
  <si>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</si>
  <si>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</si>
  <si>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</si>
  <si>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</si>
  <si>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</si>
  <si>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</si>
  <si>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</si>
  <si>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</si>
  <si>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</si>
  <si>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</si>
  <si>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</si>
  <si>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</si>
  <si>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</si>
  <si>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</si>
  <si>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</si>
  <si>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</si>
  <si>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</si>
  <si>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Gabriel Simanjuntak</t>
  </si>
  <si>
    <t>Robotika Pagi B</t>
  </si>
  <si>
    <t>Kondisi Cuaca:</t>
  </si>
  <si>
    <t>Outlook = Sunny, Temperature = cool, Humidity = High, Windy = Weak</t>
  </si>
  <si>
    <t xml:space="preserve">P(Weak|No) = </t>
  </si>
  <si>
    <t xml:space="preserve">P(Weak|Yes) = 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</si>
  <si>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</si>
  <si>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4/8</t>
  </si>
  <si>
    <t>4222301050</t>
  </si>
  <si>
    <t>P(No|Fitur) = P(No) * P(Sunny|No) * P(Cool|No) * P(High|No) * P(Weak|No)</t>
  </si>
  <si>
    <t>P(Yes|Fitur) = P(Yes) * P(Sunny|Yes) * P(Cool|Yes) * P(High|Yes) * P(Weak|Yes)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</si>
</sst>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12" fontId="5" fillId="0" borderId="0" xfId="0" applyNumberFormat="1" applyFont="1"/>
    <xf numFmtId="0" fontId="5" fillId="0" borderId="0" xfId="0" applyFont="1" applyAlignment="1">
      <alignment vertical="top"/>
    </xf>
    <xf numFmtId="0" fontId="5" fillId="0" borderId="1" xfId="0" applyFont="1" applyBorder="1"/>
    <xf numFmtId="0" fontId="5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5" fillId="0" borderId="0" xfId="0" applyNumberFormat="1" applyFont="1"/>
    <xf numFmtId="16" fontId="5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5" fillId="0" borderId="0" xfId="0" applyFont="1"/>
    <xf numFmtId="0" fontId="12" fillId="2" borderId="0" xfId="0" applyFont="1" applyFill="1"/>
    <xf numFmtId="12" fontId="13" fillId="0" borderId="0" xfId="0" applyNumberFormat="1" applyFont="1"/>
    <xf numFmtId="0" fontId="14" fillId="0" borderId="0" xfId="0" applyFont="1"/>
    <xf numFmtId="0" fontId="2" fillId="0" borderId="0" xfId="0" applyFont="1"/>
    <xf numFmtId="0" fontId="15" fillId="0" borderId="0" xfId="0" applyFont="1"/>
    <xf numFmtId="49" fontId="0" fillId="0" borderId="0" xfId="0" applyNumberFormat="1"/>
    <xf numFmtId="49" fontId="13" fillId="0" borderId="0" xfId="0" applyNumberFormat="1" applyFont="1"/>
    <xf numFmtId="49" fontId="1" fillId="0" borderId="0" xfId="0" applyNumberFormat="1" applyFont="1"/>
    <xf numFmtId="0" fontId="13" fillId="3" borderId="0" xfId="0" applyFont="1" applyFill="1"/>
    <xf numFmtId="0" fontId="0" fillId="3" borderId="0" xfId="0" applyFill="1"/>
    <xf numFmtId="0" fontId="6" fillId="3" borderId="0" xfId="0" applyFont="1" applyFill="1"/>
    <xf numFmtId="165" fontId="5" fillId="3" borderId="0" xfId="0" applyNumberFormat="1" applyFont="1" applyFill="1"/>
    <xf numFmtId="0" fontId="9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49" workbookViewId="0">
      <selection activeCell="C54" sqref="C54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/>
    <row r="2" spans="2:8" ht="14.25" customHeight="1"/>
    <row r="3" spans="2:8" ht="14.25" customHeight="1">
      <c r="B3" s="38" t="s">
        <v>0</v>
      </c>
      <c r="C3" s="34"/>
      <c r="D3" s="34"/>
      <c r="E3" s="34"/>
      <c r="F3" s="34"/>
      <c r="G3" s="34"/>
      <c r="H3" s="34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23" t="s">
        <v>24</v>
      </c>
    </row>
    <row r="24" spans="2:8" ht="14.25" customHeight="1">
      <c r="B24" s="36" t="s">
        <v>25</v>
      </c>
      <c r="C24" s="34"/>
      <c r="D24" s="34"/>
      <c r="E24" s="34"/>
      <c r="F24" s="34"/>
      <c r="G24" s="34"/>
    </row>
    <row r="25" spans="2:8" ht="14.25" customHeight="1">
      <c r="B25" s="34"/>
      <c r="C25" s="34"/>
      <c r="D25" s="34"/>
      <c r="E25" s="34"/>
      <c r="F25" s="34"/>
      <c r="G25" s="34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39" t="s">
        <v>34</v>
      </c>
      <c r="C47" s="34"/>
      <c r="D47" s="34"/>
      <c r="E47" s="34"/>
      <c r="F47" s="34"/>
      <c r="G47" s="34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40" t="s">
        <v>39</v>
      </c>
      <c r="E53" s="34"/>
      <c r="F53" s="34"/>
      <c r="G53" s="34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23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R1000"/>
  <sheetViews>
    <sheetView tabSelected="1" workbookViewId="0">
      <selection activeCell="M48" sqref="M48"/>
    </sheetView>
  </sheetViews>
  <sheetFormatPr defaultColWidth="14.44140625" defaultRowHeight="15" customHeight="1"/>
  <cols>
    <col min="1" max="4" width="8.6640625" customWidth="1"/>
    <col min="5" max="5" width="13.109375" customWidth="1"/>
    <col min="6" max="26" width="8.6640625" customWidth="1"/>
  </cols>
  <sheetData>
    <row r="1" spans="3:18" ht="14.25" customHeight="1">
      <c r="J1" s="21"/>
    </row>
    <row r="2" spans="3:18" ht="14.25" customHeight="1">
      <c r="C2" s="33" t="s">
        <v>56</v>
      </c>
      <c r="D2" s="34"/>
      <c r="E2" s="34"/>
      <c r="F2" s="34"/>
      <c r="G2" s="34"/>
      <c r="H2" s="34"/>
      <c r="J2" s="21"/>
    </row>
    <row r="3" spans="3:18" ht="14.25" customHeight="1">
      <c r="J3" s="21"/>
      <c r="L3" s="1" t="s">
        <v>21</v>
      </c>
    </row>
    <row r="4" spans="3:18" ht="14.25" customHeight="1">
      <c r="C4" s="4" t="s">
        <v>57</v>
      </c>
      <c r="D4" t="s">
        <v>72</v>
      </c>
      <c r="J4" s="21"/>
    </row>
    <row r="5" spans="3:18" ht="14.25" customHeight="1">
      <c r="C5" s="4" t="s">
        <v>58</v>
      </c>
      <c r="D5" s="28" t="s">
        <v>80</v>
      </c>
      <c r="J5" s="21"/>
      <c r="L5" s="4" t="s">
        <v>22</v>
      </c>
      <c r="M5" s="27" t="s">
        <v>79</v>
      </c>
    </row>
    <row r="6" spans="3:18" ht="14.25" customHeight="1">
      <c r="C6" s="4" t="s">
        <v>59</v>
      </c>
      <c r="D6" t="s">
        <v>73</v>
      </c>
      <c r="J6" s="21"/>
      <c r="L6" s="4" t="s">
        <v>23</v>
      </c>
      <c r="M6" s="27" t="s">
        <v>79</v>
      </c>
    </row>
    <row r="7" spans="3:18" ht="14.25" customHeight="1">
      <c r="J7" s="21"/>
    </row>
    <row r="8" spans="3:18" ht="14.25" customHeight="1">
      <c r="C8" s="1" t="s">
        <v>60</v>
      </c>
      <c r="J8" s="21"/>
    </row>
    <row r="9" spans="3:18" ht="14.25" customHeight="1">
      <c r="J9" s="21"/>
      <c r="L9" s="23" t="s">
        <v>24</v>
      </c>
    </row>
    <row r="10" spans="3:1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J10" s="21"/>
      <c r="L10" s="36" t="s">
        <v>25</v>
      </c>
      <c r="M10" s="34"/>
      <c r="N10" s="34"/>
      <c r="O10" s="34"/>
      <c r="P10" s="34"/>
      <c r="Q10" s="34"/>
    </row>
    <row r="11" spans="3:1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  <c r="J11" s="21"/>
      <c r="L11" s="34"/>
      <c r="M11" s="34"/>
      <c r="N11" s="34"/>
      <c r="O11" s="34"/>
      <c r="P11" s="34"/>
      <c r="Q11" s="34"/>
    </row>
    <row r="12" spans="3:1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  <c r="J12" s="21"/>
    </row>
    <row r="13" spans="3:1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  <c r="J13" s="21"/>
    </row>
    <row r="14" spans="3:1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  <c r="J14" s="21"/>
      <c r="L14" s="4" t="s">
        <v>26</v>
      </c>
      <c r="P14" s="4" t="s">
        <v>27</v>
      </c>
    </row>
    <row r="15" spans="3:1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  <c r="J15" s="21"/>
    </row>
    <row r="16" spans="3:1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  <c r="J16" s="21"/>
      <c r="L16" s="3" t="s">
        <v>3</v>
      </c>
      <c r="M16" s="3" t="s">
        <v>28</v>
      </c>
      <c r="N16" s="3" t="s">
        <v>29</v>
      </c>
      <c r="P16" s="3" t="s">
        <v>4</v>
      </c>
      <c r="Q16" s="3" t="s">
        <v>28</v>
      </c>
      <c r="R16" s="3" t="s">
        <v>29</v>
      </c>
    </row>
    <row r="17" spans="3:1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  <c r="J17" s="21"/>
      <c r="L17" s="3" t="s">
        <v>8</v>
      </c>
      <c r="M17" s="3">
        <v>0</v>
      </c>
      <c r="N17" s="3">
        <v>3</v>
      </c>
      <c r="P17" s="7" t="s">
        <v>9</v>
      </c>
      <c r="Q17" s="7">
        <v>1</v>
      </c>
      <c r="R17" s="7">
        <v>2</v>
      </c>
    </row>
    <row r="18" spans="3:1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  <c r="J18" s="21"/>
      <c r="L18" s="3" t="s">
        <v>16</v>
      </c>
      <c r="M18" s="3">
        <v>2</v>
      </c>
      <c r="N18" s="3">
        <v>1</v>
      </c>
      <c r="P18" s="7" t="s">
        <v>17</v>
      </c>
      <c r="Q18" s="7">
        <v>1</v>
      </c>
      <c r="R18" s="7">
        <v>1</v>
      </c>
    </row>
    <row r="19" spans="3:18" ht="14.25" customHeight="1">
      <c r="J19" s="21"/>
      <c r="L19" s="3" t="s">
        <v>14</v>
      </c>
      <c r="M19" s="3">
        <v>2</v>
      </c>
      <c r="N19" s="3">
        <v>0</v>
      </c>
      <c r="P19" s="7" t="s">
        <v>18</v>
      </c>
      <c r="Q19" s="7">
        <v>2</v>
      </c>
      <c r="R19" s="7">
        <v>1</v>
      </c>
    </row>
    <row r="20" spans="3:18" ht="14.25" customHeight="1">
      <c r="J20" s="21"/>
    </row>
    <row r="21" spans="3:18" ht="14.25" customHeight="1">
      <c r="C21" s="18" t="s">
        <v>61</v>
      </c>
      <c r="D21" s="19"/>
      <c r="J21" s="21"/>
    </row>
    <row r="22" spans="3:18" ht="14.25" customHeight="1">
      <c r="C22" s="35" t="s">
        <v>62</v>
      </c>
      <c r="D22" s="34"/>
      <c r="E22" s="34"/>
      <c r="F22" s="34"/>
      <c r="G22" s="34"/>
      <c r="H22" s="34"/>
      <c r="J22" s="21"/>
      <c r="L22" s="8" t="s">
        <v>30</v>
      </c>
      <c r="P22" s="4" t="s">
        <v>31</v>
      </c>
    </row>
    <row r="23" spans="3:18" ht="14.25" customHeight="1">
      <c r="C23" s="34"/>
      <c r="D23" s="34"/>
      <c r="E23" s="34"/>
      <c r="F23" s="34"/>
      <c r="G23" s="34"/>
      <c r="H23" s="34"/>
      <c r="J23" s="21"/>
    </row>
    <row r="24" spans="3:18" ht="14.25" customHeight="1">
      <c r="C24" s="34"/>
      <c r="D24" s="34"/>
      <c r="E24" s="34"/>
      <c r="F24" s="34"/>
      <c r="G24" s="34"/>
      <c r="H24" s="34"/>
      <c r="J24" s="21"/>
      <c r="L24" s="7" t="s">
        <v>5</v>
      </c>
      <c r="M24" s="7" t="s">
        <v>28</v>
      </c>
      <c r="N24" s="7" t="s">
        <v>29</v>
      </c>
      <c r="P24" s="7" t="s">
        <v>6</v>
      </c>
      <c r="Q24" s="7" t="s">
        <v>28</v>
      </c>
      <c r="R24" s="7" t="s">
        <v>29</v>
      </c>
    </row>
    <row r="25" spans="3:18" ht="14.25" customHeight="1">
      <c r="C25" s="20" t="s">
        <v>63</v>
      </c>
      <c r="D25" s="20"/>
      <c r="J25" s="21"/>
      <c r="L25" s="7" t="s">
        <v>10</v>
      </c>
      <c r="M25" s="7">
        <v>2</v>
      </c>
      <c r="N25" s="7">
        <v>3</v>
      </c>
      <c r="P25" s="7" t="s">
        <v>11</v>
      </c>
      <c r="Q25" s="7">
        <v>3</v>
      </c>
      <c r="R25" s="7">
        <v>2</v>
      </c>
    </row>
    <row r="26" spans="3:18" ht="14.25" customHeight="1">
      <c r="C26" s="20" t="s">
        <v>64</v>
      </c>
      <c r="D26" s="20"/>
      <c r="J26" s="21"/>
      <c r="L26" s="7" t="s">
        <v>19</v>
      </c>
      <c r="M26" s="7">
        <v>2</v>
      </c>
      <c r="N26" s="7">
        <v>1</v>
      </c>
      <c r="P26" s="7" t="s">
        <v>13</v>
      </c>
      <c r="Q26" s="7">
        <v>1</v>
      </c>
      <c r="R26" s="7">
        <v>2</v>
      </c>
    </row>
    <row r="27" spans="3:18" ht="14.25" customHeight="1">
      <c r="C27" s="20" t="s">
        <v>65</v>
      </c>
      <c r="D27" s="20"/>
      <c r="J27" s="21"/>
    </row>
    <row r="28" spans="3:18" ht="14.25" customHeight="1">
      <c r="C28" s="20" t="s">
        <v>66</v>
      </c>
      <c r="D28" s="20"/>
      <c r="J28" s="21"/>
    </row>
    <row r="29" spans="3:18" ht="14.25" customHeight="1">
      <c r="J29" s="21"/>
    </row>
    <row r="30" spans="3:18" ht="14.25" customHeight="1">
      <c r="C30" s="19" t="s">
        <v>67</v>
      </c>
      <c r="D30" s="20"/>
      <c r="E30" s="20"/>
      <c r="F30" s="20"/>
      <c r="G30" s="20"/>
      <c r="H30" s="20"/>
      <c r="J30" s="21"/>
      <c r="L30" s="24" t="s">
        <v>74</v>
      </c>
    </row>
    <row r="31" spans="3:18" ht="14.25" customHeight="1">
      <c r="C31" s="20" t="s">
        <v>68</v>
      </c>
      <c r="D31" s="20"/>
      <c r="E31" s="20"/>
      <c r="F31" s="20"/>
      <c r="G31" s="20"/>
      <c r="H31" s="20"/>
      <c r="J31" s="21"/>
      <c r="L31" s="25" t="s">
        <v>75</v>
      </c>
    </row>
    <row r="32" spans="3:18" ht="14.25" customHeight="1">
      <c r="C32" s="20" t="s">
        <v>69</v>
      </c>
      <c r="D32" s="20"/>
      <c r="E32" s="20"/>
      <c r="F32" s="20"/>
      <c r="G32" s="20"/>
      <c r="H32" s="20"/>
      <c r="J32" s="21"/>
    </row>
    <row r="33" spans="3:18" ht="14.25" customHeight="1">
      <c r="C33" s="20" t="s">
        <v>70</v>
      </c>
      <c r="D33" s="20"/>
      <c r="E33" s="20"/>
      <c r="F33" s="20"/>
      <c r="G33" s="20"/>
      <c r="H33" s="20"/>
      <c r="J33" s="21"/>
      <c r="L33" s="1" t="s">
        <v>35</v>
      </c>
      <c r="M33" s="1"/>
      <c r="N33" s="1"/>
      <c r="O33" s="1"/>
      <c r="P33" s="1"/>
      <c r="Q33" s="1"/>
      <c r="R33" s="1"/>
    </row>
    <row r="34" spans="3:18" ht="14.25" customHeight="1">
      <c r="C34" s="20" t="s">
        <v>71</v>
      </c>
      <c r="D34" s="20"/>
      <c r="E34" s="20"/>
      <c r="F34" s="20"/>
      <c r="G34" s="20"/>
      <c r="H34" s="20"/>
      <c r="J34" s="21"/>
      <c r="L34" s="1" t="s">
        <v>82</v>
      </c>
      <c r="M34" s="1"/>
      <c r="N34" s="1"/>
      <c r="O34" s="1"/>
      <c r="P34" s="1"/>
      <c r="Q34" s="1"/>
      <c r="R34" s="1"/>
    </row>
    <row r="35" spans="3:18" ht="14.25" customHeight="1">
      <c r="J35" s="21"/>
    </row>
    <row r="36" spans="3:18" ht="14.25" customHeight="1">
      <c r="J36" s="21"/>
      <c r="L36" s="24" t="s">
        <v>37</v>
      </c>
      <c r="M36" s="22">
        <v>0.5</v>
      </c>
    </row>
    <row r="37" spans="3:18" ht="14.25" customHeight="1">
      <c r="L37" s="4" t="s">
        <v>38</v>
      </c>
      <c r="M37" s="4">
        <f>0/4</f>
        <v>0</v>
      </c>
      <c r="N37" s="37" t="s">
        <v>39</v>
      </c>
      <c r="O37" s="34"/>
      <c r="P37" s="34"/>
      <c r="Q37" s="34"/>
      <c r="R37" s="5">
        <f>1/8</f>
        <v>0.125</v>
      </c>
    </row>
    <row r="38" spans="3:18" ht="14.25" customHeight="1">
      <c r="L38" s="4" t="s">
        <v>40</v>
      </c>
      <c r="M38" s="9">
        <f t="shared" ref="M38:M39" si="0">2/4</f>
        <v>0.5</v>
      </c>
    </row>
    <row r="39" spans="3:18" ht="14.25" customHeight="1">
      <c r="L39" s="4" t="s">
        <v>41</v>
      </c>
      <c r="M39" s="9">
        <f t="shared" si="0"/>
        <v>0.5</v>
      </c>
    </row>
    <row r="40" spans="3:18" ht="14.25" customHeight="1">
      <c r="L40" s="24" t="s">
        <v>77</v>
      </c>
      <c r="M40" s="5">
        <f>3/4</f>
        <v>0.75</v>
      </c>
    </row>
    <row r="41" spans="3:18" ht="14.25" customHeight="1">
      <c r="L41" s="24"/>
    </row>
    <row r="42" spans="3:18" ht="14.25" customHeight="1"/>
    <row r="43" spans="3:18" ht="14.25" customHeight="1">
      <c r="L43" s="31" t="s">
        <v>43</v>
      </c>
      <c r="M43" s="32">
        <f>M36*R37*M38*M39*M40</f>
        <v>1.171875E-2</v>
      </c>
    </row>
    <row r="44" spans="3:18" ht="14.25" customHeight="1">
      <c r="L44" s="26"/>
    </row>
    <row r="45" spans="3:18" ht="14.25" customHeight="1">
      <c r="L45" s="1" t="s">
        <v>81</v>
      </c>
      <c r="M45" s="1"/>
      <c r="N45" s="1"/>
      <c r="O45" s="1"/>
      <c r="P45" s="1"/>
      <c r="Q45" s="1"/>
    </row>
    <row r="46" spans="3:18" ht="14.25" customHeight="1"/>
    <row r="47" spans="3:18" ht="14.25" customHeight="1">
      <c r="L47" s="24" t="s">
        <v>45</v>
      </c>
      <c r="M47" s="22">
        <v>0.5</v>
      </c>
    </row>
    <row r="48" spans="3:18" ht="14.25" customHeight="1">
      <c r="L48" s="24" t="s">
        <v>46</v>
      </c>
      <c r="M48" s="22">
        <v>0.75</v>
      </c>
    </row>
    <row r="49" spans="12:18" ht="14.25" customHeight="1">
      <c r="L49" s="4" t="s">
        <v>47</v>
      </c>
      <c r="M49" s="22">
        <v>0.25</v>
      </c>
    </row>
    <row r="50" spans="12:18" ht="14.25" customHeight="1">
      <c r="L50" s="4" t="s">
        <v>48</v>
      </c>
      <c r="M50" s="22">
        <v>0.75</v>
      </c>
    </row>
    <row r="51" spans="12:18" ht="14.25" customHeight="1">
      <c r="L51" s="24" t="s">
        <v>76</v>
      </c>
      <c r="M51" s="22">
        <v>0.5</v>
      </c>
    </row>
    <row r="52" spans="12:18" ht="14.25" customHeight="1"/>
    <row r="53" spans="12:18" ht="14.25" customHeight="1"/>
    <row r="54" spans="12:18" ht="14.25" customHeight="1">
      <c r="L54" s="31" t="s">
        <v>50</v>
      </c>
      <c r="M54" s="32">
        <f>M47*M48*M49*M50*M51</f>
        <v>3.515625E-2</v>
      </c>
    </row>
    <row r="55" spans="12:18" ht="14.25" customHeight="1"/>
    <row r="56" spans="12:18" ht="14.25" customHeight="1">
      <c r="L56" s="23" t="s">
        <v>51</v>
      </c>
    </row>
    <row r="57" spans="12:18" ht="14.25" customHeight="1"/>
    <row r="58" spans="12:18" ht="14.25" customHeight="1">
      <c r="L58" s="11" t="s">
        <v>52</v>
      </c>
    </row>
    <row r="59" spans="12:18" ht="14.25" customHeight="1"/>
    <row r="60" spans="12:18" ht="14.25" customHeight="1">
      <c r="L60" s="4" t="s">
        <v>53</v>
      </c>
    </row>
    <row r="61" spans="12:18" ht="14.25" customHeight="1">
      <c r="L61" s="12"/>
      <c r="M61" s="1"/>
      <c r="N61" s="1"/>
      <c r="O61" s="1"/>
      <c r="P61" s="1"/>
      <c r="Q61" s="1"/>
    </row>
    <row r="62" spans="12:18" ht="14.25" customHeight="1">
      <c r="L62" s="25" t="s">
        <v>75</v>
      </c>
    </row>
    <row r="63" spans="12:18" ht="14.25" customHeight="1">
      <c r="M63" s="24"/>
      <c r="O63" s="24"/>
      <c r="P63" s="24"/>
      <c r="R63" s="24"/>
    </row>
    <row r="64" spans="12:18" ht="14.25" customHeight="1"/>
    <row r="65" spans="12:13" ht="14.25" customHeight="1"/>
    <row r="66" spans="12:13" ht="14.25" customHeight="1">
      <c r="L66" s="29" t="s">
        <v>78</v>
      </c>
      <c r="M66" s="30"/>
    </row>
    <row r="67" spans="12:13" ht="14.25" customHeight="1"/>
    <row r="68" spans="12:13" ht="14.25" customHeight="1"/>
    <row r="69" spans="12:13" ht="14.25" customHeight="1"/>
    <row r="70" spans="12:13" ht="14.25" customHeight="1"/>
    <row r="71" spans="12:13" ht="14.25" customHeight="1"/>
    <row r="72" spans="12:13" ht="14.25" customHeight="1"/>
    <row r="73" spans="12:13" ht="14.25" customHeight="1"/>
    <row r="74" spans="12:13" ht="14.25" customHeight="1"/>
    <row r="75" spans="12:13" ht="14.25" customHeight="1"/>
    <row r="76" spans="12:13" ht="14.25" customHeight="1"/>
    <row r="77" spans="12:13" ht="14.25" customHeight="1"/>
    <row r="78" spans="12:13" ht="14.25" customHeight="1"/>
    <row r="79" spans="12:13" ht="14.25" customHeight="1"/>
    <row r="80" spans="12:1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2:H2"/>
    <mergeCell ref="C22:H24"/>
    <mergeCell ref="L10:Q11"/>
    <mergeCell ref="N37:Q3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Glenn _</cp:lastModifiedBy>
  <dcterms:created xsi:type="dcterms:W3CDTF">2025-04-15T08:45:59Z</dcterms:created>
  <dcterms:modified xsi:type="dcterms:W3CDTF">2026-04-21T09:47:29Z</dcterms:modified>
</cp:coreProperties>
</file>